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590eaecb4bf32b/Desktop/Python/Thesis_xyz/results/plots/random_forest/"/>
    </mc:Choice>
  </mc:AlternateContent>
  <xr:revisionPtr revIDLastSave="0" documentId="8_{3FFFAE27-9BD5-4A97-9F8E-2C2F627B5A98}" xr6:coauthVersionLast="47" xr6:coauthVersionMax="47" xr10:uidLastSave="{00000000-0000-0000-0000-000000000000}"/>
  <bookViews>
    <workbookView xWindow="62280" yWindow="315" windowWidth="21600" windowHeight="11235" xr2:uid="{248DD4FA-FB47-4AC4-A0A2-0D6589504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" i="1" l="1"/>
  <c r="N20" i="1"/>
  <c r="N21" i="1"/>
  <c r="N22" i="1"/>
  <c r="N23" i="1"/>
  <c r="N24" i="1"/>
  <c r="N25" i="1"/>
  <c r="N26" i="1"/>
  <c r="N27" i="1"/>
  <c r="N28" i="1"/>
  <c r="N29" i="1"/>
  <c r="N30" i="1"/>
  <c r="N11" i="1"/>
  <c r="N12" i="1"/>
  <c r="N13" i="1"/>
  <c r="N14" i="1"/>
  <c r="N15" i="1"/>
  <c r="N16" i="1"/>
  <c r="N17" i="1"/>
  <c r="N18" i="1"/>
  <c r="N7" i="1"/>
  <c r="N8" i="1"/>
  <c r="N9" i="1"/>
  <c r="N10" i="1"/>
  <c r="N4" i="1"/>
  <c r="N5" i="1"/>
  <c r="N6" i="1"/>
  <c r="N3" i="1"/>
</calcChain>
</file>

<file path=xl/sharedStrings.xml><?xml version="1.0" encoding="utf-8"?>
<sst xmlns="http://schemas.openxmlformats.org/spreadsheetml/2006/main" count="48" uniqueCount="24">
  <si>
    <t>Name</t>
  </si>
  <si>
    <t>Q1 Count</t>
  </si>
  <si>
    <t>Q1 Avg. DD%</t>
  </si>
  <si>
    <t>Q1 Avg. DtT</t>
  </si>
  <si>
    <t>Q1 Avg. RD</t>
  </si>
  <si>
    <t>Depth</t>
  </si>
  <si>
    <t>Yearly</t>
  </si>
  <si>
    <t>Semi-Annual</t>
  </si>
  <si>
    <t>Quarterly</t>
  </si>
  <si>
    <t>Monthly</t>
  </si>
  <si>
    <t>Return Distribution</t>
  </si>
  <si>
    <t>CAGR</t>
  </si>
  <si>
    <t>Count</t>
  </si>
  <si>
    <t>Avg. RD</t>
  </si>
  <si>
    <t>Avg. DtT</t>
  </si>
  <si>
    <t>Avg. DD%</t>
  </si>
  <si>
    <t>Return</t>
  </si>
  <si>
    <t>RMSE</t>
  </si>
  <si>
    <t>MSE</t>
  </si>
  <si>
    <t>MAE</t>
  </si>
  <si>
    <t>R^2</t>
  </si>
  <si>
    <t>Spearman</t>
  </si>
  <si>
    <t>DA</t>
  </si>
  <si>
    <t>Geo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</si>
</sst>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 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4AF34-3C5D-4173-942F-03A3F6502C94}" name="Table1" displayName="Table1" ref="B2:U30" totalsRowShown="0">
  <autoFilter ref="B2:U30" xr:uid="{80E4AF34-3C5D-4173-942F-03A3F6502C94}"/>
  <tableColumns count="20">
    <tableColumn id="1" xr3:uid="{AF1AE090-941F-4DED-9BC2-4D6FAE032D6D}" name="Name"/>
    <tableColumn id="2" xr3:uid="{564C3F77-9A8A-410A-8420-A0E5335EBEC7}" name="Depth"/>
    <tableColumn id="3" xr3:uid="{1EBA3815-00BE-4EA1-9893-1D915F493B25}" name="Count"/>
    <tableColumn id="4" xr3:uid="{162C14A2-3DD3-4841-9A65-A1155C8AB07A}" name="Avg. DD%"/>
    <tableColumn id="5" xr3:uid="{299CD6F2-F1AE-41AE-9823-DFD52F5145EF}" name="Avg. DtT"/>
    <tableColumn id="6" xr3:uid="{9D2915FB-CCE6-49BB-BA7E-9EACB63AF346}" name="Avg. RD"/>
    <tableColumn id="7" xr3:uid="{1D6C34F5-A620-4655-9677-7D7820C63C8F}" name="Q1 Count"/>
    <tableColumn id="8" xr3:uid="{1C3E4E0D-A914-4068-960B-8D84B4DF6368}" name="Q1 Avg. DD%" dataDxfId="0" dataCellStyle="Per cent"/>
    <tableColumn id="9" xr3:uid="{5C5D222A-E422-4656-A1C8-F42DB53BAAF1}" name="Q1 Avg. DtT"/>
    <tableColumn id="10" xr3:uid="{3B5312A4-5453-41EB-89E5-850857749D6E}" name="Q1 Avg. RD"/>
    <tableColumn id="11" xr3:uid="{46086BBB-194D-4328-B29F-25FAA8FDFFEF}" name="Return Distribution"/>
    <tableColumn id="12" xr3:uid="{AF432009-37BC-40F9-94E6-7CCB24E31121}" name="Return"/>
    <tableColumn id="13" xr3:uid="{3BF7C19D-C0B9-4226-8C58-8E9967A8CD05}" name="CAGR">
      <calculatedColumnFormula>(1 + M3)^(1/28) - 1</calculatedColumnFormula>
    </tableColumn>
    <tableColumn id="14" xr3:uid="{214693B5-57E0-4888-910B-F87327FA3057}" name="RMSE"/>
    <tableColumn id="15" xr3:uid="{B0255161-E22F-4604-855B-510FB49011F0}" name="MSE"/>
    <tableColumn id="16" xr3:uid="{1F18F595-B266-453E-AABD-0F5A7B95C93A}" name="MAE"/>
    <tableColumn id="17" xr3:uid="{A4A096CE-56BA-4B2A-B92B-3ED33A6EB959}" name="R^2"/>
    <tableColumn id="18" xr3:uid="{9DE5EE23-16EE-4716-8E76-66710DE42AC6}" name="Spearman"/>
    <tableColumn id="19" xr3:uid="{4A79053B-9816-4FF0-8E82-1E59A17FD34D}" name="DA"/>
    <tableColumn id="20" xr3:uid="{65078B02-5CB3-4CDC-B624-7B0E3791BE7E}" name="Geo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7868-2F42-4E79-A911-C3A8672E0C65}">
  <dimension ref="B2:U30"/>
  <sheetViews>
    <sheetView tabSelected="1" topLeftCell="A13" workbookViewId="0">
      <selection activeCell="D20" sqref="D20"/>
    </sheetView>
  </sheetViews>
  <sheetFormatPr defaultRowHeight="14.4" x14ac:dyDescent="0.3"/>
  <cols>
    <col min="2" max="2" width="11.88671875" bestFit="1" customWidth="1"/>
    <col min="3" max="4" width="8.33203125" customWidth="1"/>
    <col min="5" max="5" width="11.21875" customWidth="1"/>
    <col min="6" max="6" width="10" customWidth="1"/>
    <col min="7" max="7" width="9.5546875" customWidth="1"/>
    <col min="8" max="8" width="11.109375" customWidth="1"/>
    <col min="9" max="9" width="14" customWidth="1"/>
    <col min="10" max="10" width="12.77734375" customWidth="1"/>
    <col min="11" max="11" width="12.33203125" customWidth="1"/>
    <col min="12" max="12" width="19.88671875" customWidth="1"/>
    <col min="13" max="13" width="8.88671875" customWidth="1"/>
    <col min="14" max="14" width="8.109375" customWidth="1"/>
    <col min="19" max="19" width="11.6640625" customWidth="1"/>
    <col min="21" max="21" width="12" customWidth="1"/>
  </cols>
  <sheetData>
    <row r="2" spans="2:21" x14ac:dyDescent="0.3">
      <c r="B2" t="s">
        <v>0</v>
      </c>
      <c r="C2" t="s">
        <v>5</v>
      </c>
      <c r="D2" t="s">
        <v>12</v>
      </c>
      <c r="E2" t="s">
        <v>15</v>
      </c>
      <c r="F2" t="s">
        <v>14</v>
      </c>
      <c r="G2" t="s">
        <v>13</v>
      </c>
      <c r="H2" t="s">
        <v>1</v>
      </c>
      <c r="I2" t="s">
        <v>2</v>
      </c>
      <c r="J2" t="s">
        <v>3</v>
      </c>
      <c r="K2" t="s">
        <v>4</v>
      </c>
      <c r="L2" t="s">
        <v>10</v>
      </c>
      <c r="M2" t="s">
        <v>16</v>
      </c>
      <c r="N2" t="s">
        <v>11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</row>
    <row r="3" spans="2:21" x14ac:dyDescent="0.3">
      <c r="B3" t="s">
        <v>6</v>
      </c>
      <c r="C3">
        <v>1</v>
      </c>
      <c r="D3">
        <v>35</v>
      </c>
      <c r="E3" s="2">
        <v>0.123</v>
      </c>
      <c r="F3">
        <v>134</v>
      </c>
      <c r="G3">
        <v>94</v>
      </c>
      <c r="H3">
        <v>8</v>
      </c>
      <c r="I3" s="2">
        <v>0.27300000000000002</v>
      </c>
      <c r="J3">
        <v>497</v>
      </c>
      <c r="K3">
        <v>305</v>
      </c>
      <c r="L3" s="3">
        <v>5.1000000000000004E-4</v>
      </c>
      <c r="M3" s="1">
        <v>18.86</v>
      </c>
      <c r="N3" s="2">
        <f>(1 + M3)^(1/28) - 1</f>
        <v>0.11264443877371599</v>
      </c>
      <c r="O3">
        <v>0.28639999999999999</v>
      </c>
      <c r="P3">
        <v>8.2199999999999995E-2</v>
      </c>
      <c r="Q3">
        <v>0.246</v>
      </c>
      <c r="R3">
        <v>1.09E-2</v>
      </c>
      <c r="S3">
        <v>7.9200000000000007E-2</v>
      </c>
      <c r="T3">
        <v>0.5948</v>
      </c>
      <c r="U3">
        <v>0.29189999999999999</v>
      </c>
    </row>
    <row r="4" spans="2:21" x14ac:dyDescent="0.3">
      <c r="B4" t="s">
        <v>7</v>
      </c>
      <c r="C4">
        <v>1</v>
      </c>
      <c r="D4">
        <v>30</v>
      </c>
      <c r="E4" s="2">
        <v>0.14599999999999999</v>
      </c>
      <c r="F4">
        <v>89</v>
      </c>
      <c r="G4">
        <v>192</v>
      </c>
      <c r="H4">
        <v>7</v>
      </c>
      <c r="I4" s="2">
        <v>0.34399999999999997</v>
      </c>
      <c r="J4">
        <v>297</v>
      </c>
      <c r="K4">
        <v>681</v>
      </c>
      <c r="L4" s="3">
        <v>4.8999999999999998E-4</v>
      </c>
      <c r="M4" s="1">
        <v>15.58</v>
      </c>
      <c r="N4" s="2">
        <f t="shared" ref="N4:N6" si="0">(1 + M4)^(1/28) - 1</f>
        <v>0.10549451013525535</v>
      </c>
      <c r="O4">
        <v>0.28870000000000001</v>
      </c>
      <c r="P4">
        <v>8.3400000000000002E-2</v>
      </c>
      <c r="Q4">
        <v>0.2495</v>
      </c>
      <c r="R4">
        <v>-3.5000000000000001E-3</v>
      </c>
      <c r="S4">
        <v>-1.0999999999999999E-2</v>
      </c>
      <c r="T4">
        <v>0.58069999999999999</v>
      </c>
      <c r="U4">
        <v>0.1716</v>
      </c>
    </row>
    <row r="5" spans="2:21" x14ac:dyDescent="0.3">
      <c r="B5" t="s">
        <v>8</v>
      </c>
      <c r="C5">
        <v>1</v>
      </c>
      <c r="D5">
        <v>37</v>
      </c>
      <c r="E5" s="2">
        <v>0.13100000000000001</v>
      </c>
      <c r="F5">
        <v>80</v>
      </c>
      <c r="G5">
        <v>132</v>
      </c>
      <c r="H5">
        <v>9</v>
      </c>
      <c r="I5" s="2">
        <v>0.29499999999999998</v>
      </c>
      <c r="J5">
        <v>234</v>
      </c>
      <c r="K5">
        <v>451</v>
      </c>
      <c r="L5" s="3">
        <v>5.2999999999999998E-4</v>
      </c>
      <c r="M5" s="1">
        <v>20.79</v>
      </c>
      <c r="N5" s="2">
        <f t="shared" si="0"/>
        <v>0.11633592502082024</v>
      </c>
      <c r="O5">
        <v>0.28810000000000002</v>
      </c>
      <c r="P5">
        <v>8.3000000000000004E-2</v>
      </c>
      <c r="Q5">
        <v>0.2495</v>
      </c>
      <c r="R5">
        <v>8.9999999999999998E-4</v>
      </c>
      <c r="S5">
        <v>4.65E-2</v>
      </c>
      <c r="T5">
        <v>0.56610000000000005</v>
      </c>
      <c r="U5">
        <v>0.1416</v>
      </c>
    </row>
    <row r="6" spans="2:21" x14ac:dyDescent="0.3">
      <c r="B6" t="s">
        <v>9</v>
      </c>
      <c r="C6">
        <v>1</v>
      </c>
      <c r="D6">
        <v>35</v>
      </c>
      <c r="E6" s="2">
        <v>0.13</v>
      </c>
      <c r="F6">
        <v>83</v>
      </c>
      <c r="G6">
        <v>149</v>
      </c>
      <c r="H6">
        <v>8</v>
      </c>
      <c r="I6" s="2">
        <v>0.307</v>
      </c>
      <c r="J6">
        <v>259</v>
      </c>
      <c r="K6">
        <v>546</v>
      </c>
      <c r="L6" s="3">
        <v>5.1999999999999995E-4</v>
      </c>
      <c r="M6" s="1">
        <v>18.41</v>
      </c>
      <c r="N6" s="2">
        <f t="shared" si="0"/>
        <v>0.11173406181761969</v>
      </c>
      <c r="O6">
        <v>0.2883</v>
      </c>
      <c r="P6">
        <v>8.3099999999999993E-2</v>
      </c>
      <c r="Q6">
        <v>0.24979999999999999</v>
      </c>
      <c r="R6">
        <v>0</v>
      </c>
      <c r="S6">
        <v>2.0400000000000001E-2</v>
      </c>
      <c r="T6">
        <v>0.55049999999999999</v>
      </c>
      <c r="U6">
        <v>2.18E-2</v>
      </c>
    </row>
    <row r="7" spans="2:21" x14ac:dyDescent="0.3">
      <c r="B7" t="s">
        <v>6</v>
      </c>
      <c r="C7">
        <v>2</v>
      </c>
      <c r="D7">
        <v>36</v>
      </c>
      <c r="E7" s="2">
        <v>0.121</v>
      </c>
      <c r="F7">
        <v>132</v>
      </c>
      <c r="G7">
        <v>87</v>
      </c>
      <c r="H7">
        <v>9</v>
      </c>
      <c r="I7" s="2">
        <v>0.255</v>
      </c>
      <c r="J7">
        <v>439</v>
      </c>
      <c r="K7">
        <v>258</v>
      </c>
      <c r="L7" s="3">
        <v>5.1999999999999995E-4</v>
      </c>
      <c r="M7" s="1">
        <v>19.62</v>
      </c>
      <c r="N7" s="2">
        <f t="shared" ref="N7:N10" si="1">(1 + M7)^(1/28) - 1</f>
        <v>0.11413772741746597</v>
      </c>
      <c r="O7">
        <v>0.28689999999999999</v>
      </c>
      <c r="P7">
        <v>8.2699999999999996E-2</v>
      </c>
      <c r="Q7">
        <v>0.24479999999999999</v>
      </c>
      <c r="R7">
        <v>4.8999999999999998E-3</v>
      </c>
      <c r="S7">
        <v>6.6400000000000001E-2</v>
      </c>
      <c r="T7">
        <v>0.57120000000000004</v>
      </c>
      <c r="U7">
        <v>0.38729999999999998</v>
      </c>
    </row>
    <row r="8" spans="2:21" x14ac:dyDescent="0.3">
      <c r="B8" t="s">
        <v>7</v>
      </c>
      <c r="C8">
        <v>2</v>
      </c>
      <c r="D8">
        <v>31</v>
      </c>
      <c r="E8" s="2">
        <v>0.14199999999999999</v>
      </c>
      <c r="F8">
        <v>89</v>
      </c>
      <c r="G8">
        <v>180</v>
      </c>
      <c r="H8">
        <v>7</v>
      </c>
      <c r="I8" s="2">
        <v>0.34100000000000003</v>
      </c>
      <c r="J8">
        <v>308</v>
      </c>
      <c r="K8">
        <v>652</v>
      </c>
      <c r="L8" s="3">
        <v>5.0000000000000001E-4</v>
      </c>
      <c r="M8" s="1">
        <v>16.34</v>
      </c>
      <c r="N8" s="2">
        <f t="shared" si="1"/>
        <v>0.10726546144481341</v>
      </c>
      <c r="O8">
        <v>0.2898</v>
      </c>
      <c r="P8">
        <v>8.4199999999999997E-2</v>
      </c>
      <c r="Q8">
        <v>0.24979999999999999</v>
      </c>
      <c r="R8">
        <v>-1.2500000000000001E-2</v>
      </c>
      <c r="S8">
        <v>-1.61E-2</v>
      </c>
      <c r="T8">
        <v>0.55149999999999999</v>
      </c>
      <c r="U8">
        <v>0.32650000000000001</v>
      </c>
    </row>
    <row r="9" spans="2:21" x14ac:dyDescent="0.3">
      <c r="B9" t="s">
        <v>8</v>
      </c>
      <c r="C9">
        <v>2</v>
      </c>
      <c r="D9">
        <v>35</v>
      </c>
      <c r="E9" s="2">
        <v>0.13300000000000001</v>
      </c>
      <c r="F9">
        <v>89</v>
      </c>
      <c r="G9">
        <v>134</v>
      </c>
      <c r="H9">
        <v>8</v>
      </c>
      <c r="I9" s="2">
        <v>0.31</v>
      </c>
      <c r="J9">
        <v>286</v>
      </c>
      <c r="K9">
        <v>479</v>
      </c>
      <c r="L9" s="3">
        <v>5.4000000000000001E-4</v>
      </c>
      <c r="M9" s="1">
        <v>22.31</v>
      </c>
      <c r="N9" s="2">
        <f t="shared" si="1"/>
        <v>0.11902759295446086</v>
      </c>
      <c r="O9">
        <v>0.28849999999999998</v>
      </c>
      <c r="P9">
        <v>8.3400000000000002E-2</v>
      </c>
      <c r="Q9">
        <v>0.24959999999999999</v>
      </c>
      <c r="R9">
        <v>-0.03</v>
      </c>
      <c r="S9">
        <v>4.7800000000000002E-2</v>
      </c>
      <c r="T9">
        <v>0.53169999999999995</v>
      </c>
      <c r="U9">
        <v>0.34229999999999999</v>
      </c>
    </row>
    <row r="10" spans="2:21" x14ac:dyDescent="0.3">
      <c r="B10" t="s">
        <v>9</v>
      </c>
      <c r="C10">
        <v>2</v>
      </c>
      <c r="D10">
        <v>35</v>
      </c>
      <c r="E10" s="2">
        <v>0.13</v>
      </c>
      <c r="F10">
        <v>81</v>
      </c>
      <c r="G10">
        <v>151</v>
      </c>
      <c r="H10">
        <v>8</v>
      </c>
      <c r="I10" s="2">
        <v>0.307</v>
      </c>
      <c r="J10">
        <v>250</v>
      </c>
      <c r="K10">
        <v>552</v>
      </c>
      <c r="L10" s="3">
        <v>5.1000000000000004E-4</v>
      </c>
      <c r="M10" s="1">
        <v>18.149999999999999</v>
      </c>
      <c r="N10" s="2">
        <f t="shared" si="1"/>
        <v>0.11119874461468071</v>
      </c>
      <c r="O10">
        <v>0.28849999999999998</v>
      </c>
      <c r="P10">
        <v>8.3299999999999999E-2</v>
      </c>
      <c r="Q10">
        <v>0.24979999999999999</v>
      </c>
      <c r="R10">
        <v>-2E-3</v>
      </c>
      <c r="S10">
        <v>1.5699999999999999E-2</v>
      </c>
      <c r="T10">
        <v>0.54500000000000004</v>
      </c>
      <c r="U10">
        <v>0.17949999999999999</v>
      </c>
    </row>
    <row r="11" spans="2:21" x14ac:dyDescent="0.3">
      <c r="B11" t="s">
        <v>6</v>
      </c>
      <c r="C11">
        <v>3</v>
      </c>
      <c r="D11">
        <v>38</v>
      </c>
      <c r="E11" s="2">
        <v>0.129</v>
      </c>
      <c r="F11">
        <v>78</v>
      </c>
      <c r="G11">
        <v>129</v>
      </c>
      <c r="H11">
        <v>9</v>
      </c>
      <c r="I11" s="2">
        <v>0.29599999999999999</v>
      </c>
      <c r="J11">
        <v>232</v>
      </c>
      <c r="K11">
        <v>446</v>
      </c>
      <c r="L11" s="3">
        <v>5.1999999999999995E-4</v>
      </c>
      <c r="M11" s="1">
        <v>20.09</v>
      </c>
      <c r="N11" s="2">
        <f t="shared" ref="N11:N18" si="2">(1 + M11)^(1/28) - 1</f>
        <v>0.11503487045603955</v>
      </c>
      <c r="O11">
        <v>0.2878</v>
      </c>
      <c r="P11">
        <v>8.3400000000000002E-2</v>
      </c>
      <c r="Q11">
        <v>0.24460000000000001</v>
      </c>
      <c r="R11">
        <v>-3.8999999999999998E-3</v>
      </c>
      <c r="S11">
        <v>6.88E-2</v>
      </c>
      <c r="T11">
        <v>0.56669999999999998</v>
      </c>
      <c r="U11">
        <v>0.4244</v>
      </c>
    </row>
    <row r="12" spans="2:21" x14ac:dyDescent="0.3">
      <c r="B12" t="s">
        <v>7</v>
      </c>
      <c r="C12">
        <v>3</v>
      </c>
      <c r="D12">
        <v>34</v>
      </c>
      <c r="E12" s="2">
        <v>0.13500000000000001</v>
      </c>
      <c r="F12">
        <v>76</v>
      </c>
      <c r="G12">
        <v>167</v>
      </c>
      <c r="H12">
        <v>8</v>
      </c>
      <c r="I12" s="2">
        <v>0.312</v>
      </c>
      <c r="J12">
        <v>236</v>
      </c>
      <c r="K12">
        <v>583</v>
      </c>
      <c r="L12" s="3">
        <v>5.0000000000000001E-4</v>
      </c>
      <c r="M12" s="1">
        <v>17.28</v>
      </c>
      <c r="N12" s="2">
        <f t="shared" si="2"/>
        <v>0.1093550846367628</v>
      </c>
      <c r="O12">
        <v>0.29099999999999998</v>
      </c>
      <c r="P12">
        <v>8.4900000000000003E-2</v>
      </c>
      <c r="Q12">
        <v>0.25019999999999998</v>
      </c>
      <c r="R12">
        <v>-2.1600000000000001E-2</v>
      </c>
      <c r="S12">
        <v>-8.8999999999999999E-3</v>
      </c>
      <c r="T12">
        <v>0.54710000000000003</v>
      </c>
      <c r="U12">
        <v>0.3886</v>
      </c>
    </row>
    <row r="13" spans="2:21" x14ac:dyDescent="0.3">
      <c r="B13" t="s">
        <v>8</v>
      </c>
      <c r="C13">
        <v>3</v>
      </c>
      <c r="D13">
        <v>35</v>
      </c>
      <c r="E13" s="2">
        <v>0.13100000000000001</v>
      </c>
      <c r="F13">
        <v>88</v>
      </c>
      <c r="G13">
        <v>131</v>
      </c>
      <c r="H13">
        <v>8</v>
      </c>
      <c r="I13" s="2">
        <v>0.30499999999999999</v>
      </c>
      <c r="J13">
        <v>285</v>
      </c>
      <c r="K13">
        <v>466</v>
      </c>
      <c r="L13" s="3">
        <v>5.5000000000000003E-4</v>
      </c>
      <c r="M13" s="1">
        <v>23.23</v>
      </c>
      <c r="N13" s="2">
        <f t="shared" si="2"/>
        <v>0.12057568174927447</v>
      </c>
      <c r="O13">
        <v>0.28910000000000002</v>
      </c>
      <c r="P13">
        <v>8.3699999999999997E-2</v>
      </c>
      <c r="Q13">
        <v>0.24979999999999999</v>
      </c>
      <c r="R13">
        <v>-7.4999999999999997E-3</v>
      </c>
      <c r="S13">
        <v>4.9299999999999997E-2</v>
      </c>
      <c r="T13">
        <v>0.52110000000000001</v>
      </c>
      <c r="U13">
        <v>0.38779999999999998</v>
      </c>
    </row>
    <row r="14" spans="2:21" x14ac:dyDescent="0.3">
      <c r="B14" t="s">
        <v>9</v>
      </c>
      <c r="C14">
        <v>3</v>
      </c>
      <c r="D14">
        <v>34</v>
      </c>
      <c r="E14" s="2">
        <v>0.13</v>
      </c>
      <c r="F14">
        <v>80</v>
      </c>
      <c r="G14">
        <v>155</v>
      </c>
      <c r="H14">
        <v>8</v>
      </c>
      <c r="I14" s="2">
        <v>0.30399999999999999</v>
      </c>
      <c r="J14">
        <v>254</v>
      </c>
      <c r="K14">
        <v>542</v>
      </c>
      <c r="L14" s="3">
        <v>5.1000000000000004E-4</v>
      </c>
      <c r="M14" s="1">
        <v>18.2</v>
      </c>
      <c r="N14" s="2">
        <f t="shared" si="2"/>
        <v>0.11130223233281478</v>
      </c>
      <c r="O14">
        <v>0.28889999999999999</v>
      </c>
      <c r="P14">
        <v>8.3500000000000005E-2</v>
      </c>
      <c r="Q14">
        <v>0.25009999999999999</v>
      </c>
      <c r="R14">
        <v>-4.7000000000000002E-3</v>
      </c>
      <c r="S14">
        <v>1.24E-2</v>
      </c>
      <c r="T14">
        <v>0.53820000000000001</v>
      </c>
      <c r="U14">
        <v>0.27529999999999999</v>
      </c>
    </row>
    <row r="15" spans="2:21" x14ac:dyDescent="0.3">
      <c r="B15" t="s">
        <v>6</v>
      </c>
      <c r="C15">
        <v>5</v>
      </c>
      <c r="D15">
        <v>40</v>
      </c>
      <c r="E15" s="2">
        <v>0.125</v>
      </c>
      <c r="F15">
        <v>73</v>
      </c>
      <c r="G15">
        <v>121</v>
      </c>
      <c r="H15">
        <v>10</v>
      </c>
      <c r="I15" s="2">
        <v>0.27400000000000002</v>
      </c>
      <c r="J15">
        <v>198</v>
      </c>
      <c r="K15">
        <v>392</v>
      </c>
      <c r="L15" s="3">
        <v>5.1999999999999995E-4</v>
      </c>
      <c r="M15" s="1">
        <v>20.36</v>
      </c>
      <c r="N15" s="2">
        <f t="shared" si="2"/>
        <v>0.11554157056568926</v>
      </c>
      <c r="O15">
        <v>0.29020000000000001</v>
      </c>
      <c r="P15">
        <v>8.5099999999999995E-2</v>
      </c>
      <c r="Q15">
        <v>0.24610000000000001</v>
      </c>
      <c r="R15">
        <v>-2.4199999999999999E-2</v>
      </c>
      <c r="S15">
        <v>7.0499999999999993E-2</v>
      </c>
      <c r="T15">
        <v>0.55189999999999995</v>
      </c>
      <c r="U15">
        <v>0.43440000000000001</v>
      </c>
    </row>
    <row r="16" spans="2:21" x14ac:dyDescent="0.3">
      <c r="B16" t="s">
        <v>7</v>
      </c>
      <c r="C16">
        <v>5</v>
      </c>
      <c r="D16">
        <v>35</v>
      </c>
      <c r="E16" s="2">
        <v>0.13200000000000001</v>
      </c>
      <c r="F16">
        <v>73</v>
      </c>
      <c r="G16">
        <v>153</v>
      </c>
      <c r="H16">
        <v>8</v>
      </c>
      <c r="I16" s="2">
        <v>0.30399999999999999</v>
      </c>
      <c r="J16">
        <v>227</v>
      </c>
      <c r="K16">
        <v>552</v>
      </c>
      <c r="L16" s="3">
        <v>5.1000000000000004E-4</v>
      </c>
      <c r="M16" s="1">
        <v>19.100000000000001</v>
      </c>
      <c r="N16" s="2">
        <f t="shared" si="2"/>
        <v>0.11312187185817946</v>
      </c>
      <c r="O16">
        <v>0.29260000000000003</v>
      </c>
      <c r="P16">
        <v>8.5900000000000004E-2</v>
      </c>
      <c r="Q16">
        <v>0.25069999999999998</v>
      </c>
      <c r="R16">
        <v>-3.3599999999999998E-2</v>
      </c>
      <c r="S16">
        <v>2.9999999999999997E-4</v>
      </c>
      <c r="T16">
        <v>0.54079999999999995</v>
      </c>
      <c r="U16">
        <v>0.40529999999999999</v>
      </c>
    </row>
    <row r="17" spans="2:21" x14ac:dyDescent="0.3">
      <c r="B17" t="s">
        <v>8</v>
      </c>
      <c r="C17">
        <v>5</v>
      </c>
      <c r="D17">
        <v>36</v>
      </c>
      <c r="E17" s="2">
        <v>0.127</v>
      </c>
      <c r="F17">
        <v>82</v>
      </c>
      <c r="G17">
        <v>130</v>
      </c>
      <c r="H17">
        <v>9</v>
      </c>
      <c r="I17" s="2">
        <v>0.27600000000000002</v>
      </c>
      <c r="J17">
        <v>233</v>
      </c>
      <c r="K17">
        <v>413</v>
      </c>
      <c r="L17" s="3">
        <v>5.5000000000000003E-4</v>
      </c>
      <c r="M17" s="1">
        <v>23.82</v>
      </c>
      <c r="N17" s="2">
        <f t="shared" si="2"/>
        <v>0.12153891994517685</v>
      </c>
      <c r="O17">
        <v>0.29049999999999998</v>
      </c>
      <c r="P17">
        <v>8.4599999999999995E-2</v>
      </c>
      <c r="Q17">
        <v>0.2505</v>
      </c>
      <c r="R17">
        <v>-1.7899999999999999E-2</v>
      </c>
      <c r="S17">
        <v>4.2299999999999997E-2</v>
      </c>
      <c r="T17">
        <v>0.51970000000000005</v>
      </c>
      <c r="U17">
        <v>0.41880000000000001</v>
      </c>
    </row>
    <row r="18" spans="2:21" x14ac:dyDescent="0.3">
      <c r="B18" t="s">
        <v>9</v>
      </c>
      <c r="C18">
        <v>5</v>
      </c>
      <c r="D18">
        <v>36</v>
      </c>
      <c r="E18" s="2">
        <v>0.124</v>
      </c>
      <c r="F18">
        <v>76</v>
      </c>
      <c r="G18">
        <v>140</v>
      </c>
      <c r="H18">
        <v>9</v>
      </c>
      <c r="I18" s="2">
        <v>0.27600000000000002</v>
      </c>
      <c r="J18">
        <v>223</v>
      </c>
      <c r="K18">
        <v>457</v>
      </c>
      <c r="L18" s="3">
        <v>5.1000000000000004E-4</v>
      </c>
      <c r="M18" s="1">
        <v>18.79</v>
      </c>
      <c r="N18" s="2">
        <f t="shared" si="2"/>
        <v>0.11250413922221303</v>
      </c>
      <c r="O18">
        <v>0.2898</v>
      </c>
      <c r="P18">
        <v>8.4099999999999994E-2</v>
      </c>
      <c r="Q18">
        <v>0.25059999999999999</v>
      </c>
      <c r="R18">
        <v>-1.14E-2</v>
      </c>
      <c r="S18">
        <v>1.04E-2</v>
      </c>
      <c r="T18">
        <v>0.53120000000000001</v>
      </c>
      <c r="U18">
        <v>0.35289999999999999</v>
      </c>
    </row>
    <row r="19" spans="2:21" x14ac:dyDescent="0.3">
      <c r="B19" t="s">
        <v>6</v>
      </c>
      <c r="C19">
        <v>8</v>
      </c>
      <c r="E19" s="2"/>
      <c r="I19" s="2"/>
      <c r="L19" s="3"/>
      <c r="M19" s="1"/>
      <c r="N19" s="2">
        <f t="shared" ref="N19:N30" si="3">(1 + M19)^(1/28) - 1</f>
        <v>0</v>
      </c>
    </row>
    <row r="20" spans="2:21" x14ac:dyDescent="0.3">
      <c r="B20" t="s">
        <v>7</v>
      </c>
      <c r="C20">
        <v>8</v>
      </c>
      <c r="E20" s="2"/>
      <c r="I20" s="2"/>
      <c r="L20" s="3"/>
      <c r="M20" s="1"/>
      <c r="N20" s="2">
        <f t="shared" si="3"/>
        <v>0</v>
      </c>
    </row>
    <row r="21" spans="2:21" x14ac:dyDescent="0.3">
      <c r="B21" t="s">
        <v>8</v>
      </c>
      <c r="C21">
        <v>8</v>
      </c>
      <c r="I21" s="2"/>
      <c r="N21">
        <f t="shared" si="3"/>
        <v>0</v>
      </c>
    </row>
    <row r="22" spans="2:21" x14ac:dyDescent="0.3">
      <c r="B22" t="s">
        <v>9</v>
      </c>
      <c r="C22">
        <v>8</v>
      </c>
      <c r="I22" s="2"/>
      <c r="N22">
        <f t="shared" si="3"/>
        <v>0</v>
      </c>
    </row>
    <row r="23" spans="2:21" x14ac:dyDescent="0.3">
      <c r="B23" t="s">
        <v>6</v>
      </c>
      <c r="C23">
        <v>10</v>
      </c>
      <c r="I23" s="2"/>
      <c r="N23">
        <f t="shared" si="3"/>
        <v>0</v>
      </c>
    </row>
    <row r="24" spans="2:21" x14ac:dyDescent="0.3">
      <c r="B24" t="s">
        <v>7</v>
      </c>
      <c r="C24">
        <v>10</v>
      </c>
      <c r="I24" s="2"/>
      <c r="N24">
        <f t="shared" si="3"/>
        <v>0</v>
      </c>
    </row>
    <row r="25" spans="2:21" x14ac:dyDescent="0.3">
      <c r="B25" t="s">
        <v>8</v>
      </c>
      <c r="C25">
        <v>10</v>
      </c>
      <c r="I25" s="2"/>
      <c r="N25">
        <f t="shared" si="3"/>
        <v>0</v>
      </c>
    </row>
    <row r="26" spans="2:21" x14ac:dyDescent="0.3">
      <c r="B26" t="s">
        <v>9</v>
      </c>
      <c r="C26">
        <v>10</v>
      </c>
      <c r="I26" s="2"/>
      <c r="N26">
        <f t="shared" si="3"/>
        <v>0</v>
      </c>
    </row>
    <row r="27" spans="2:21" x14ac:dyDescent="0.3">
      <c r="B27" t="s">
        <v>6</v>
      </c>
      <c r="C27">
        <v>20</v>
      </c>
      <c r="I27" s="2"/>
      <c r="N27">
        <f t="shared" si="3"/>
        <v>0</v>
      </c>
    </row>
    <row r="28" spans="2:21" x14ac:dyDescent="0.3">
      <c r="B28" t="s">
        <v>7</v>
      </c>
      <c r="C28">
        <v>20</v>
      </c>
      <c r="I28" s="2"/>
      <c r="N28">
        <f t="shared" si="3"/>
        <v>0</v>
      </c>
    </row>
    <row r="29" spans="2:21" x14ac:dyDescent="0.3">
      <c r="B29" t="s">
        <v>8</v>
      </c>
      <c r="C29">
        <v>20</v>
      </c>
      <c r="I29" s="2"/>
      <c r="N29">
        <f t="shared" si="3"/>
        <v>0</v>
      </c>
    </row>
    <row r="30" spans="2:21" x14ac:dyDescent="0.3">
      <c r="B30" t="s">
        <v>9</v>
      </c>
      <c r="C30">
        <v>20</v>
      </c>
      <c r="I30" s="2"/>
      <c r="N30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2026-04-12T19:25:12Z</dcterms:created>
  <dcterms:modified xsi:type="dcterms:W3CDTF">2026-04-12T20:05:29Z</dcterms:modified>
</cp:coreProperties>
</file>